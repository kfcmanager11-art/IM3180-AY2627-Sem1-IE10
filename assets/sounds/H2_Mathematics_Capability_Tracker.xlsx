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6122ab148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Tracker" sheetId="1" r:id="R1d786dc2c773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222222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7F9FB"/>
      </x:patternFill>
    </x:fill>
  </x:fills>
  <x:borders count="16">
    <x:border/>
    <x:border>
      <x:bottom style="thin">
        <x:color rgb="FF9EADBA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top style="thin">
        <x:color rgb="FFAAB7C4"/>
      </x:top>
    </x:border>
    <x:border>
      <x:bottom style="thin">
        <x:color rgb="FFAAB7C4"/>
      </x:bottom>
    </x:border>
    <x:border>
      <x:bottom style="thin">
        <x:color rgb="FFE1E7EC"/>
      </x:bottom>
    </x:border>
    <x:border>
      <x:top style="thin">
        <x:color rgb="FFE1E7EC"/>
      </x:top>
      <x:bottom style="thin">
        <x:color rgb="FFE1E7EC"/>
      </x:bottom>
    </x:border>
    <x:border>
      <x:top style="thin">
        <x:color rgb="FFE1E7EC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200" fontId="0" fillId="2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5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8" xfId="0" applyNumberFormat="1" applyFont="1" applyFill="1" applyBorder="1"/>
    <x:xf numFmtId="0" fontId="4" fillId="3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0" fontId="6" fillId="0" borderId="13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20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0" fontId="6" fillId="0" borderId="15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horizontal="center" vertical="center"/>
    </x:xf>
    <x:xf numFmtId="200" fontId="6" fillId="4" borderId="13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horizontal="center" vertical="center"/>
    </x:xf>
    <x:xf numFmtId="200" fontId="6" fillId="5" borderId="14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vertical="center"/>
    </x:xf>
    <x:xf numFmtId="0" fontId="6" fillId="4" borderId="14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horizontal="center" vertical="center"/>
    </x:xf>
    <x:xf numFmtId="200" fontId="6" fillId="4" borderId="14" xfId="0" applyNumberFormat="1" applyFont="1" applyFill="1" applyBorder="1" applyAlignment="1">
      <x:alignment horizontal="center" vertical="center"/>
    </x:xf>
    <x:xf numFmtId="0" fontId="6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horizontal="center" vertical="center"/>
    </x:xf>
    <x:xf numFmtId="200" fontId="6" fillId="5" borderId="1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2157fe364451e" /><Relationship Type="http://schemas.openxmlformats.org/officeDocument/2006/relationships/theme" Target="/xl/theme/theme1.xml" Id="R5a27fa6e1325453d" /><Relationship Type="http://schemas.openxmlformats.org/officeDocument/2006/relationships/sharedStrings" Target="/xl/sharedStrings.xml" Id="Ref56f600d9be49a1" /><Relationship Type="http://schemas.openxmlformats.org/officeDocument/2006/relationships/worksheet" Target="/xl/worksheets/sheet1.xml" Id="R1d786dc2c7734f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42" hidden="0" customWidth="1"/>
    <x:col min="4" max="4" width="16" hidden="0" customWidth="1"/>
    <x:col min="5" max="5" width="18" hidden="0" customWidth="1"/>
    <x:col min="6" max="6" width="16" hidden="0" customWidth="1"/>
    <x:col min="7" max="7" width="13" hidden="0" customWidth="1"/>
    <x:col min="8" max="8" width="28" hidden="0" customWidth="1"/>
    <x:col min="9" max="9" width="28" hidden="0" customWidth="1"/>
  </x:cols>
  <x:sheetData>
    <x:row r="1">
      <x:c r="A1" s="62"/>
      <x:c r="B1" s="62"/>
      <x:c r="C1" s="62"/>
      <x:c r="D1" s="62"/>
      <x:c r="E1" s="62"/>
      <x:c r="F1" s="62"/>
      <x:c r="G1" s="62"/>
      <x:c r="H1" s="62"/>
      <x:c r="I1" s="62"/>
    </x:row>
    <x:row r="2" ht="22" customHeight="1">
      <x:c r="A2" s="1" t="str">
        <x:v>H2 Mathematics Capability Tracker</x:v>
      </x:c>
    </x:row>
    <x:row r="3" ht="22" customHeight="1">
      <x:c r="A3" s="2" t="str">
        <x:v>Student self-assessment | Rate honestly before tuition begins, then update after each revision cycle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G5" s="13" t="str">
        <x:v>Confidence guide</x:v>
      </x:c>
      <x:c r="H5" s="20"/>
      <x:c r="I5" s="14"/>
    </x:row>
    <x:row r="6">
      <x:c r="A6" s="4" t="str">
        <x:v>Student name</x:v>
      </x:c>
      <x:c r="B6" s="6" t="str"/>
      <x:c r="D6" s="13" t="str">
        <x:v>Overall summary</x:v>
      </x:c>
      <x:c r="E6" s="14" t="str">
        <x:v>Result</x:v>
      </x:c>
      <x:c r="G6" s="15" t="n">
        <x:v>1</x:v>
      </x:c>
      <x:c r="H6" s="21" t="str">
        <x:v>Not learned</x:v>
      </x:c>
      <x:c r="I6" s="16" t="str">
        <x:v>Cannot begin independently</x:v>
      </x:c>
    </x:row>
    <x:row r="7">
      <x:c r="A7" s="4" t="str">
        <x:v>Assessment date</x:v>
      </x:c>
      <x:c r="B7" s="9"/>
      <x:c r="D7" s="15" t="str">
        <x:v>Topics rated</x:v>
      </x:c>
      <x:c r="E7" s="16" t="n">
        <x:f>COUNT(D12:D101)</x:f>
        <x:v>0</x:v>
      </x:c>
      <x:c r="G7" s="15" t="n">
        <x:v>2</x:v>
      </x:c>
      <x:c r="H7" s="21" t="str">
        <x:v>Weak</x:v>
      </x:c>
      <x:c r="I7" s="16" t="str">
        <x:v>Understands some steps; needs help</x:v>
      </x:c>
    </x:row>
    <x:row r="8">
      <x:c r="A8" s="4" t="str">
        <x:v>School / class</x:v>
      </x:c>
      <x:c r="B8" s="8" t="str"/>
      <x:c r="D8" s="15" t="str">
        <x:v>Average confidence</x:v>
      </x:c>
      <x:c r="E8" s="19" t="str">
        <x:f>IFERROR(AVERAGE(D12:D101),"")</x:f>
      </x:c>
      <x:c r="G8" s="15" t="n">
        <x:v>3</x:v>
      </x:c>
      <x:c r="H8" s="21" t="str">
        <x:v>Developing</x:v>
      </x:c>
      <x:c r="I8" s="16" t="str">
        <x:v>Can solve standard questions</x:v>
      </x:c>
    </x:row>
    <x:row r="9">
      <x:c r="D9" s="17" t="str">
        <x:v>Needs support (1–2)</x:v>
      </x:c>
      <x:c r="E9" s="18" t="n">
        <x:f>COUNTIFS(D12:D101,"&gt;=1",D12:D101,"&lt;=2")</x:f>
        <x:v>0</x:v>
      </x:c>
      <x:c r="G9" s="15" t="n">
        <x:v>4</x:v>
      </x:c>
      <x:c r="H9" s="21" t="str">
        <x:v>Strong</x:v>
      </x:c>
      <x:c r="I9" s="16" t="str">
        <x:v>Can solve most exam questions</x:v>
      </x:c>
    </x:row>
    <x:row r="10">
      <x:c r="G10" s="17" t="n">
        <x:v>5</x:v>
      </x:c>
      <x:c r="H10" s="22" t="str">
        <x:v>Exam-ready</x:v>
      </x:c>
      <x:c r="I10" s="18" t="str">
        <x:v>Accurate under timed conditions</x:v>
      </x:c>
    </x:row>
    <x:row r="11" ht="32" customHeight="1">
      <x:c r="A11" s="25" t="str">
        <x:v>Section</x:v>
      </x:c>
      <x:c r="B11" s="25" t="str">
        <x:v>Chapter</x:v>
      </x:c>
      <x:c r="C11" s="25" t="str">
        <x:v>Subtopic / Skill</x:v>
      </x:c>
      <x:c r="D11" s="25" t="str">
        <x:v>Confidence (1–5)</x:v>
      </x:c>
      <x:c r="E11" s="25" t="str">
        <x:v>Solve without help?</x:v>
      </x:c>
      <x:c r="F11" s="25" t="str">
        <x:v>Last practised</x:v>
      </x:c>
      <x:c r="G11" s="25" t="str">
        <x:v>Priority</x:v>
      </x:c>
      <x:c r="H11" s="25" t="str">
        <x:v>Student notes</x:v>
      </x:c>
      <x:c r="I11" s="25" t="str">
        <x:v>Tutor comments</x:v>
      </x:c>
    </x:row>
    <x:row r="12" ht="32" customHeight="1">
      <x:c r="A12" s="46" t="str">
        <x:v>Pure Mathematics</x:v>
      </x:c>
      <x:c r="B12" s="46" t="str">
        <x:v>Functions</x:v>
      </x:c>
      <x:c r="C12" s="47" t="str">
        <x:v>Function notation, domain and range</x:v>
      </x:c>
      <x:c r="D12" s="36"/>
      <x:c r="E12" s="48" t="str">
        <x:v>Not assessed</x:v>
      </x:c>
      <x:c r="F12" s="49"/>
      <x:c r="G12" s="36" t="str">
        <x:f>IF(D12="","Not rated",IF(D12&lt;=2,"High",IF(D12=3,"Medium","Low")))</x:f>
        <x:v>Not rated</x:v>
      </x:c>
      <x:c r="H12" s="47" t="str"/>
      <x:c r="I12" s="47" t="str"/>
    </x:row>
    <x:row r="13" ht="32" customHeight="1">
      <x:c r="A13" s="50" t="str">
        <x:v>Pure Mathematics</x:v>
      </x:c>
      <x:c r="B13" s="50" t="str">
        <x:v>Functions</x:v>
      </x:c>
      <x:c r="C13" s="51" t="str">
        <x:v>Composite functions</x:v>
      </x:c>
      <x:c r="D13" s="40"/>
      <x:c r="E13" s="52" t="str">
        <x:v>Not assessed</x:v>
      </x:c>
      <x:c r="F13" s="53"/>
      <x:c r="G13" s="40" t="str">
        <x:f>IF(D13="","Not rated",IF(D13&lt;=2,"High",IF(D13=3,"Medium","Low")))</x:f>
        <x:v>Not rated</x:v>
      </x:c>
      <x:c r="H13" s="51" t="str"/>
      <x:c r="I13" s="51" t="str"/>
    </x:row>
    <x:row r="14" ht="32" customHeight="1">
      <x:c r="A14" s="54" t="str">
        <x:v>Pure Mathematics</x:v>
      </x:c>
      <x:c r="B14" s="54" t="str">
        <x:v>Functions</x:v>
      </x:c>
      <x:c r="C14" s="55" t="str">
        <x:v>Inverse functions and one-to-one restrictions</x:v>
      </x:c>
      <x:c r="D14" s="40"/>
      <x:c r="E14" s="56" t="str">
        <x:v>Not assessed</x:v>
      </x:c>
      <x:c r="F14" s="57"/>
      <x:c r="G14" s="40" t="str">
        <x:f>IF(D14="","Not rated",IF(D14&lt;=2,"High",IF(D14=3,"Medium","Low")))</x:f>
        <x:v>Not rated</x:v>
      </x:c>
      <x:c r="H14" s="55" t="str"/>
      <x:c r="I14" s="55" t="str"/>
    </x:row>
    <x:row r="15" ht="32" customHeight="1">
      <x:c r="A15" s="50" t="str">
        <x:v>Pure Mathematics</x:v>
      </x:c>
      <x:c r="B15" s="50" t="str">
        <x:v>Functions</x:v>
      </x:c>
      <x:c r="C15" s="51" t="str">
        <x:v>Solving equations and inequalities</x:v>
      </x:c>
      <x:c r="D15" s="40"/>
      <x:c r="E15" s="52" t="str">
        <x:v>Not assessed</x:v>
      </x:c>
      <x:c r="F15" s="53"/>
      <x:c r="G15" s="40" t="str">
        <x:f>IF(D15="","Not rated",IF(D15&lt;=2,"High",IF(D15=3,"Medium","Low")))</x:f>
        <x:v>Not rated</x:v>
      </x:c>
      <x:c r="H15" s="51" t="str"/>
      <x:c r="I15" s="51" t="str"/>
    </x:row>
    <x:row r="16" ht="32" customHeight="1">
      <x:c r="A16" s="54" t="str">
        <x:v>Pure Mathematics</x:v>
      </x:c>
      <x:c r="B16" s="54" t="str">
        <x:v>Functions</x:v>
      </x:c>
      <x:c r="C16" s="55" t="str">
        <x:v>Modulus functions, equations and inequalities</x:v>
      </x:c>
      <x:c r="D16" s="40"/>
      <x:c r="E16" s="56" t="str">
        <x:v>Not assessed</x:v>
      </x:c>
      <x:c r="F16" s="57"/>
      <x:c r="G16" s="40" t="str">
        <x:f>IF(D16="","Not rated",IF(D16&lt;=2,"High",IF(D16=3,"Medium","Low")))</x:f>
        <x:v>Not rated</x:v>
      </x:c>
      <x:c r="H16" s="55" t="str"/>
      <x:c r="I16" s="55" t="str"/>
    </x:row>
    <x:row r="17" ht="32" customHeight="1">
      <x:c r="A17" s="50" t="str">
        <x:v>Pure Mathematics</x:v>
      </x:c>
      <x:c r="B17" s="50" t="str">
        <x:v>Graphs</x:v>
      </x:c>
      <x:c r="C17" s="51" t="str">
        <x:v>Standard graphs and asymptotes</x:v>
      </x:c>
      <x:c r="D17" s="40"/>
      <x:c r="E17" s="52" t="str">
        <x:v>Not assessed</x:v>
      </x:c>
      <x:c r="F17" s="53"/>
      <x:c r="G17" s="40" t="str">
        <x:f>IF(D17="","Not rated",IF(D17&lt;=2,"High",IF(D17=3,"Medium","Low")))</x:f>
        <x:v>Not rated</x:v>
      </x:c>
      <x:c r="H17" s="51" t="str"/>
      <x:c r="I17" s="51" t="str"/>
    </x:row>
    <x:row r="18" ht="32" customHeight="1">
      <x:c r="A18" s="54" t="str">
        <x:v>Pure Mathematics</x:v>
      </x:c>
      <x:c r="B18" s="54" t="str">
        <x:v>Graphs</x:v>
      </x:c>
      <x:c r="C18" s="55" t="str">
        <x:v>Translations, reflections and scalings</x:v>
      </x:c>
      <x:c r="D18" s="40"/>
      <x:c r="E18" s="56" t="str">
        <x:v>Not assessed</x:v>
      </x:c>
      <x:c r="F18" s="57"/>
      <x:c r="G18" s="40" t="str">
        <x:f>IF(D18="","Not rated",IF(D18&lt;=2,"High",IF(D18=3,"Medium","Low")))</x:f>
        <x:v>Not rated</x:v>
      </x:c>
      <x:c r="H18" s="55" t="str"/>
      <x:c r="I18" s="55" t="str"/>
    </x:row>
    <x:row r="19" ht="32" customHeight="1">
      <x:c r="A19" s="50" t="str">
        <x:v>Pure Mathematics</x:v>
      </x:c>
      <x:c r="B19" s="50" t="str">
        <x:v>Graphs</x:v>
      </x:c>
      <x:c r="C19" s="51" t="str">
        <x:v>Modulus and reciprocal graphs</x:v>
      </x:c>
      <x:c r="D19" s="40"/>
      <x:c r="E19" s="52" t="str">
        <x:v>Not assessed</x:v>
      </x:c>
      <x:c r="F19" s="53"/>
      <x:c r="G19" s="40" t="str">
        <x:f>IF(D19="","Not rated",IF(D19&lt;=2,"High",IF(D19=3,"Medium","Low")))</x:f>
        <x:v>Not rated</x:v>
      </x:c>
      <x:c r="H19" s="51" t="str"/>
      <x:c r="I19" s="51" t="str"/>
    </x:row>
    <x:row r="20" ht="32" customHeight="1">
      <x:c r="A20" s="54" t="str">
        <x:v>Pure Mathematics</x:v>
      </x:c>
      <x:c r="B20" s="54" t="str">
        <x:v>Graphs</x:v>
      </x:c>
      <x:c r="C20" s="55" t="str">
        <x:v>Using graphs to solve equations and inequalities</x:v>
      </x:c>
      <x:c r="D20" s="40"/>
      <x:c r="E20" s="56" t="str">
        <x:v>Not assessed</x:v>
      </x:c>
      <x:c r="F20" s="57"/>
      <x:c r="G20" s="40" t="str">
        <x:f>IF(D20="","Not rated",IF(D20&lt;=2,"High",IF(D20=3,"Medium","Low")))</x:f>
        <x:v>Not rated</x:v>
      </x:c>
      <x:c r="H20" s="55" t="str"/>
      <x:c r="I20" s="55" t="str"/>
    </x:row>
    <x:row r="21" ht="32" customHeight="1">
      <x:c r="A21" s="50" t="str">
        <x:v>Pure Mathematics</x:v>
      </x:c>
      <x:c r="B21" s="50" t="str">
        <x:v>Sequences &amp; Series</x:v>
      </x:c>
      <x:c r="C21" s="51" t="str">
        <x:v>Arithmetic progressions</x:v>
      </x:c>
      <x:c r="D21" s="40"/>
      <x:c r="E21" s="52" t="str">
        <x:v>Not assessed</x:v>
      </x:c>
      <x:c r="F21" s="53"/>
      <x:c r="G21" s="40" t="str">
        <x:f>IF(D21="","Not rated",IF(D21&lt;=2,"High",IF(D21=3,"Medium","Low")))</x:f>
        <x:v>Not rated</x:v>
      </x:c>
      <x:c r="H21" s="51" t="str"/>
      <x:c r="I21" s="51" t="str"/>
    </x:row>
    <x:row r="22" ht="32" customHeight="1">
      <x:c r="A22" s="54" t="str">
        <x:v>Pure Mathematics</x:v>
      </x:c>
      <x:c r="B22" s="54" t="str">
        <x:v>Sequences &amp; Series</x:v>
      </x:c>
      <x:c r="C22" s="55" t="str">
        <x:v>Geometric progressions</x:v>
      </x:c>
      <x:c r="D22" s="40"/>
      <x:c r="E22" s="56" t="str">
        <x:v>Not assessed</x:v>
      </x:c>
      <x:c r="F22" s="57"/>
      <x:c r="G22" s="40" t="str">
        <x:f>IF(D22="","Not rated",IF(D22&lt;=2,"High",IF(D22=3,"Medium","Low")))</x:f>
        <x:v>Not rated</x:v>
      </x:c>
      <x:c r="H22" s="55" t="str"/>
      <x:c r="I22" s="55" t="str"/>
    </x:row>
    <x:row r="23" ht="32" customHeight="1">
      <x:c r="A23" s="50" t="str">
        <x:v>Pure Mathematics</x:v>
      </x:c>
      <x:c r="B23" s="50" t="str">
        <x:v>Sequences &amp; Series</x:v>
      </x:c>
      <x:c r="C23" s="51" t="str">
        <x:v>Infinite geometric series and convergence</x:v>
      </x:c>
      <x:c r="D23" s="40"/>
      <x:c r="E23" s="52" t="str">
        <x:v>Not assessed</x:v>
      </x:c>
      <x:c r="F23" s="53"/>
      <x:c r="G23" s="40" t="str">
        <x:f>IF(D23="","Not rated",IF(D23&lt;=2,"High",IF(D23=3,"Medium","Low")))</x:f>
        <x:v>Not rated</x:v>
      </x:c>
      <x:c r="H23" s="51" t="str"/>
      <x:c r="I23" s="51" t="str"/>
    </x:row>
    <x:row r="24" ht="32" customHeight="1">
      <x:c r="A24" s="54" t="str">
        <x:v>Pure Mathematics</x:v>
      </x:c>
      <x:c r="B24" s="54" t="str">
        <x:v>Sequences &amp; Series</x:v>
      </x:c>
      <x:c r="C24" s="55" t="str">
        <x:v>Sigma notation and standard sums</x:v>
      </x:c>
      <x:c r="D24" s="40"/>
      <x:c r="E24" s="56" t="str">
        <x:v>Not assessed</x:v>
      </x:c>
      <x:c r="F24" s="57"/>
      <x:c r="G24" s="40" t="str">
        <x:f>IF(D24="","Not rated",IF(D24&lt;=2,"High",IF(D24=3,"Medium","Low")))</x:f>
        <x:v>Not rated</x:v>
      </x:c>
      <x:c r="H24" s="55" t="str"/>
      <x:c r="I24" s="55" t="str"/>
    </x:row>
    <x:row r="25" ht="32" customHeight="1">
      <x:c r="A25" s="50" t="str">
        <x:v>Pure Mathematics</x:v>
      </x:c>
      <x:c r="B25" s="50" t="str">
        <x:v>Sequences &amp; Series</x:v>
      </x:c>
      <x:c r="C25" s="51" t="str">
        <x:v>Method of differences</x:v>
      </x:c>
      <x:c r="D25" s="40"/>
      <x:c r="E25" s="52" t="str">
        <x:v>Not assessed</x:v>
      </x:c>
      <x:c r="F25" s="53"/>
      <x:c r="G25" s="40" t="str">
        <x:f>IF(D25="","Not rated",IF(D25&lt;=2,"High",IF(D25=3,"Medium","Low")))</x:f>
        <x:v>Not rated</x:v>
      </x:c>
      <x:c r="H25" s="51" t="str"/>
      <x:c r="I25" s="51" t="str"/>
    </x:row>
    <x:row r="26" ht="32" customHeight="1">
      <x:c r="A26" s="54" t="str">
        <x:v>Pure Mathematics</x:v>
      </x:c>
      <x:c r="B26" s="54" t="str">
        <x:v>Sequences &amp; Series</x:v>
      </x:c>
      <x:c r="C26" s="55" t="str">
        <x:v>Recurrence relations</x:v>
      </x:c>
      <x:c r="D26" s="40"/>
      <x:c r="E26" s="56" t="str">
        <x:v>Not assessed</x:v>
      </x:c>
      <x:c r="F26" s="57"/>
      <x:c r="G26" s="40" t="str">
        <x:f>IF(D26="","Not rated",IF(D26&lt;=2,"High",IF(D26=3,"Medium","Low")))</x:f>
        <x:v>Not rated</x:v>
      </x:c>
      <x:c r="H26" s="55" t="str"/>
      <x:c r="I26" s="55" t="str"/>
    </x:row>
    <x:row r="27" ht="32" customHeight="1">
      <x:c r="A27" s="50" t="str">
        <x:v>Pure Mathematics</x:v>
      </x:c>
      <x:c r="B27" s="50" t="str">
        <x:v>Binomial Expansion</x:v>
      </x:c>
      <x:c r="C27" s="51" t="str">
        <x:v>Positive integer powers</x:v>
      </x:c>
      <x:c r="D27" s="40"/>
      <x:c r="E27" s="52" t="str">
        <x:v>Not assessed</x:v>
      </x:c>
      <x:c r="F27" s="53"/>
      <x:c r="G27" s="40" t="str">
        <x:f>IF(D27="","Not rated",IF(D27&lt;=2,"High",IF(D27=3,"Medium","Low")))</x:f>
        <x:v>Not rated</x:v>
      </x:c>
      <x:c r="H27" s="51" t="str"/>
      <x:c r="I27" s="51" t="str"/>
    </x:row>
    <x:row r="28" ht="32" customHeight="1">
      <x:c r="A28" s="54" t="str">
        <x:v>Pure Mathematics</x:v>
      </x:c>
      <x:c r="B28" s="54" t="str">
        <x:v>Binomial Expansion</x:v>
      </x:c>
      <x:c r="C28" s="55" t="str">
        <x:v>Negative and fractional powers</x:v>
      </x:c>
      <x:c r="D28" s="40"/>
      <x:c r="E28" s="56" t="str">
        <x:v>Not assessed</x:v>
      </x:c>
      <x:c r="F28" s="57"/>
      <x:c r="G28" s="40" t="str">
        <x:f>IF(D28="","Not rated",IF(D28&lt;=2,"High",IF(D28=3,"Medium","Low")))</x:f>
        <x:v>Not rated</x:v>
      </x:c>
      <x:c r="H28" s="55" t="str"/>
      <x:c r="I28" s="55" t="str"/>
    </x:row>
    <x:row r="29" ht="32" customHeight="1">
      <x:c r="A29" s="50" t="str">
        <x:v>Pure Mathematics</x:v>
      </x:c>
      <x:c r="B29" s="50" t="str">
        <x:v>Binomial Expansion</x:v>
      </x:c>
      <x:c r="C29" s="51" t="str">
        <x:v>General term, coefficients and range of validity</x:v>
      </x:c>
      <x:c r="D29" s="40"/>
      <x:c r="E29" s="52" t="str">
        <x:v>Not assessed</x:v>
      </x:c>
      <x:c r="F29" s="53"/>
      <x:c r="G29" s="40" t="str">
        <x:f>IF(D29="","Not rated",IF(D29&lt;=2,"High",IF(D29=3,"Medium","Low")))</x:f>
        <x:v>Not rated</x:v>
      </x:c>
      <x:c r="H29" s="51" t="str"/>
      <x:c r="I29" s="51" t="str"/>
    </x:row>
    <x:row r="30" ht="32" customHeight="1">
      <x:c r="A30" s="54" t="str">
        <x:v>Pure Mathematics</x:v>
      </x:c>
      <x:c r="B30" s="54" t="str">
        <x:v>Trigonometry</x:v>
      </x:c>
      <x:c r="C30" s="55" t="str">
        <x:v>Basic identities and exact values</x:v>
      </x:c>
      <x:c r="D30" s="40"/>
      <x:c r="E30" s="56" t="str">
        <x:v>Not assessed</x:v>
      </x:c>
      <x:c r="F30" s="57"/>
      <x:c r="G30" s="40" t="str">
        <x:f>IF(D30="","Not rated",IF(D30&lt;=2,"High",IF(D30=3,"Medium","Low")))</x:f>
        <x:v>Not rated</x:v>
      </x:c>
      <x:c r="H30" s="55" t="str"/>
      <x:c r="I30" s="55" t="str"/>
    </x:row>
    <x:row r="31" ht="32" customHeight="1">
      <x:c r="A31" s="50" t="str">
        <x:v>Pure Mathematics</x:v>
      </x:c>
      <x:c r="B31" s="50" t="str">
        <x:v>Trigonometry</x:v>
      </x:c>
      <x:c r="C31" s="51" t="str">
        <x:v>Compound-angle and double-angle formulae</x:v>
      </x:c>
      <x:c r="D31" s="40"/>
      <x:c r="E31" s="52" t="str">
        <x:v>Not assessed</x:v>
      </x:c>
      <x:c r="F31" s="53"/>
      <x:c r="G31" s="40" t="str">
        <x:f>IF(D31="","Not rated",IF(D31&lt;=2,"High",IF(D31=3,"Medium","Low")))</x:f>
        <x:v>Not rated</x:v>
      </x:c>
      <x:c r="H31" s="51" t="str"/>
      <x:c r="I31" s="51" t="str"/>
    </x:row>
    <x:row r="32" ht="32" customHeight="1">
      <x:c r="A32" s="54" t="str">
        <x:v>Pure Mathematics</x:v>
      </x:c>
      <x:c r="B32" s="54" t="str">
        <x:v>Trigonometry</x:v>
      </x:c>
      <x:c r="C32" s="55" t="str">
        <x:v>R-formula</x:v>
      </x:c>
      <x:c r="D32" s="40"/>
      <x:c r="E32" s="56" t="str">
        <x:v>Not assessed</x:v>
      </x:c>
      <x:c r="F32" s="57"/>
      <x:c r="G32" s="40" t="str">
        <x:f>IF(D32="","Not rated",IF(D32&lt;=2,"High",IF(D32=3,"Medium","Low")))</x:f>
        <x:v>Not rated</x:v>
      </x:c>
      <x:c r="H32" s="55" t="str"/>
      <x:c r="I32" s="55" t="str"/>
    </x:row>
    <x:row r="33" ht="32" customHeight="1">
      <x:c r="A33" s="50" t="str">
        <x:v>Pure Mathematics</x:v>
      </x:c>
      <x:c r="B33" s="50" t="str">
        <x:v>Trigonometry</x:v>
      </x:c>
      <x:c r="C33" s="51" t="str">
        <x:v>Solving trigonometric equations and general solutions</x:v>
      </x:c>
      <x:c r="D33" s="40"/>
      <x:c r="E33" s="52" t="str">
        <x:v>Not assessed</x:v>
      </x:c>
      <x:c r="F33" s="53"/>
      <x:c r="G33" s="40" t="str">
        <x:f>IF(D33="","Not rated",IF(D33&lt;=2,"High",IF(D33=3,"Medium","Low")))</x:f>
        <x:v>Not rated</x:v>
      </x:c>
      <x:c r="H33" s="51" t="str"/>
      <x:c r="I33" s="51" t="str"/>
    </x:row>
    <x:row r="34" ht="32" customHeight="1">
      <x:c r="A34" s="54" t="str">
        <x:v>Pure Mathematics</x:v>
      </x:c>
      <x:c r="B34" s="54" t="str">
        <x:v>Trigonometry</x:v>
      </x:c>
      <x:c r="C34" s="55" t="str">
        <x:v>Small-angle approximations</x:v>
      </x:c>
      <x:c r="D34" s="40"/>
      <x:c r="E34" s="56" t="str">
        <x:v>Not assessed</x:v>
      </x:c>
      <x:c r="F34" s="57"/>
      <x:c r="G34" s="40" t="str">
        <x:f>IF(D34="","Not rated",IF(D34&lt;=2,"High",IF(D34=3,"Medium","Low")))</x:f>
        <x:v>Not rated</x:v>
      </x:c>
      <x:c r="H34" s="55" t="str"/>
      <x:c r="I34" s="55" t="str"/>
    </x:row>
    <x:row r="35" ht="32" customHeight="1">
      <x:c r="A35" s="50" t="str">
        <x:v>Pure Mathematics</x:v>
      </x:c>
      <x:c r="B35" s="50" t="str">
        <x:v>Differentiation</x:v>
      </x:c>
      <x:c r="C35" s="51" t="str">
        <x:v>Product, quotient and chain rules</x:v>
      </x:c>
      <x:c r="D35" s="40"/>
      <x:c r="E35" s="52" t="str">
        <x:v>Not assessed</x:v>
      </x:c>
      <x:c r="F35" s="53"/>
      <x:c r="G35" s="40" t="str">
        <x:f>IF(D35="","Not rated",IF(D35&lt;=2,"High",IF(D35=3,"Medium","Low")))</x:f>
        <x:v>Not rated</x:v>
      </x:c>
      <x:c r="H35" s="51" t="str"/>
      <x:c r="I35" s="51" t="str"/>
    </x:row>
    <x:row r="36" ht="32" customHeight="1">
      <x:c r="A36" s="54" t="str">
        <x:v>Pure Mathematics</x:v>
      </x:c>
      <x:c r="B36" s="54" t="str">
        <x:v>Differentiation</x:v>
      </x:c>
      <x:c r="C36" s="55" t="str">
        <x:v>Implicit differentiation</x:v>
      </x:c>
      <x:c r="D36" s="40"/>
      <x:c r="E36" s="56" t="str">
        <x:v>Not assessed</x:v>
      </x:c>
      <x:c r="F36" s="57"/>
      <x:c r="G36" s="40" t="str">
        <x:f>IF(D36="","Not rated",IF(D36&lt;=2,"High",IF(D36=3,"Medium","Low")))</x:f>
        <x:v>Not rated</x:v>
      </x:c>
      <x:c r="H36" s="55" t="str"/>
      <x:c r="I36" s="55" t="str"/>
    </x:row>
    <x:row r="37" ht="32" customHeight="1">
      <x:c r="A37" s="50" t="str">
        <x:v>Pure Mathematics</x:v>
      </x:c>
      <x:c r="B37" s="50" t="str">
        <x:v>Differentiation</x:v>
      </x:c>
      <x:c r="C37" s="51" t="str">
        <x:v>Parametric differentiation</x:v>
      </x:c>
      <x:c r="D37" s="40"/>
      <x:c r="E37" s="52" t="str">
        <x:v>Not assessed</x:v>
      </x:c>
      <x:c r="F37" s="53"/>
      <x:c r="G37" s="40" t="str">
        <x:f>IF(D37="","Not rated",IF(D37&lt;=2,"High",IF(D37=3,"Medium","Low")))</x:f>
        <x:v>Not rated</x:v>
      </x:c>
      <x:c r="H37" s="51" t="str"/>
      <x:c r="I37" s="51" t="str"/>
    </x:row>
    <x:row r="38" ht="32" customHeight="1">
      <x:c r="A38" s="54" t="str">
        <x:v>Pure Mathematics</x:v>
      </x:c>
      <x:c r="B38" s="54" t="str">
        <x:v>Differentiation</x:v>
      </x:c>
      <x:c r="C38" s="55" t="str">
        <x:v>Logarithmic differentiation</x:v>
      </x:c>
      <x:c r="D38" s="40"/>
      <x:c r="E38" s="56" t="str">
        <x:v>Not assessed</x:v>
      </x:c>
      <x:c r="F38" s="57"/>
      <x:c r="G38" s="40" t="str">
        <x:f>IF(D38="","Not rated",IF(D38&lt;=2,"High",IF(D38=3,"Medium","Low")))</x:f>
        <x:v>Not rated</x:v>
      </x:c>
      <x:c r="H38" s="55" t="str"/>
      <x:c r="I38" s="55" t="str"/>
    </x:row>
    <x:row r="39" ht="32" customHeight="1">
      <x:c r="A39" s="50" t="str">
        <x:v>Pure Mathematics</x:v>
      </x:c>
      <x:c r="B39" s="50" t="str">
        <x:v>Differentiation</x:v>
      </x:c>
      <x:c r="C39" s="51" t="str">
        <x:v>Tangents, normals and rates of change</x:v>
      </x:c>
      <x:c r="D39" s="40"/>
      <x:c r="E39" s="52" t="str">
        <x:v>Not assessed</x:v>
      </x:c>
      <x:c r="F39" s="53"/>
      <x:c r="G39" s="40" t="str">
        <x:f>IF(D39="","Not rated",IF(D39&lt;=2,"High",IF(D39=3,"Medium","Low")))</x:f>
        <x:v>Not rated</x:v>
      </x:c>
      <x:c r="H39" s="51" t="str"/>
      <x:c r="I39" s="51" t="str"/>
    </x:row>
    <x:row r="40" ht="32" customHeight="1">
      <x:c r="A40" s="54" t="str">
        <x:v>Pure Mathematics</x:v>
      </x:c>
      <x:c r="B40" s="54" t="str">
        <x:v>Differentiation</x:v>
      </x:c>
      <x:c r="C40" s="55" t="str">
        <x:v>Stationary points and curve sketching</x:v>
      </x:c>
      <x:c r="D40" s="40"/>
      <x:c r="E40" s="56" t="str">
        <x:v>Not assessed</x:v>
      </x:c>
      <x:c r="F40" s="57"/>
      <x:c r="G40" s="40" t="str">
        <x:f>IF(D40="","Not rated",IF(D40&lt;=2,"High",IF(D40=3,"Medium","Low")))</x:f>
        <x:v>Not rated</x:v>
      </x:c>
      <x:c r="H40" s="55" t="str"/>
      <x:c r="I40" s="55" t="str"/>
    </x:row>
    <x:row r="41" ht="32" customHeight="1">
      <x:c r="A41" s="50" t="str">
        <x:v>Pure Mathematics</x:v>
      </x:c>
      <x:c r="B41" s="50" t="str">
        <x:v>Differentiation</x:v>
      </x:c>
      <x:c r="C41" s="51" t="str">
        <x:v>Optimisation and related rates</x:v>
      </x:c>
      <x:c r="D41" s="40"/>
      <x:c r="E41" s="52" t="str">
        <x:v>Not assessed</x:v>
      </x:c>
      <x:c r="F41" s="53"/>
      <x:c r="G41" s="40" t="str">
        <x:f>IF(D41="","Not rated",IF(D41&lt;=2,"High",IF(D41=3,"Medium","Low")))</x:f>
        <x:v>Not rated</x:v>
      </x:c>
      <x:c r="H41" s="51" t="str"/>
      <x:c r="I41" s="51" t="str"/>
    </x:row>
    <x:row r="42" ht="32" customHeight="1">
      <x:c r="A42" s="54" t="str">
        <x:v>Pure Mathematics</x:v>
      </x:c>
      <x:c r="B42" s="54" t="str">
        <x:v>Integration</x:v>
      </x:c>
      <x:c r="C42" s="55" t="str">
        <x:v>Standard integration formulae</x:v>
      </x:c>
      <x:c r="D42" s="40"/>
      <x:c r="E42" s="56" t="str">
        <x:v>Not assessed</x:v>
      </x:c>
      <x:c r="F42" s="57"/>
      <x:c r="G42" s="40" t="str">
        <x:f>IF(D42="","Not rated",IF(D42&lt;=2,"High",IF(D42=3,"Medium","Low")))</x:f>
        <x:v>Not rated</x:v>
      </x:c>
      <x:c r="H42" s="55" t="str"/>
      <x:c r="I42" s="55" t="str"/>
    </x:row>
    <x:row r="43" ht="32" customHeight="1">
      <x:c r="A43" s="50" t="str">
        <x:v>Pure Mathematics</x:v>
      </x:c>
      <x:c r="B43" s="50" t="str">
        <x:v>Integration</x:v>
      </x:c>
      <x:c r="C43" s="51" t="str">
        <x:v>Integration by substitution</x:v>
      </x:c>
      <x:c r="D43" s="40"/>
      <x:c r="E43" s="52" t="str">
        <x:v>Not assessed</x:v>
      </x:c>
      <x:c r="F43" s="53"/>
      <x:c r="G43" s="40" t="str">
        <x:f>IF(D43="","Not rated",IF(D43&lt;=2,"High",IF(D43=3,"Medium","Low")))</x:f>
        <x:v>Not rated</x:v>
      </x:c>
      <x:c r="H43" s="51" t="str"/>
      <x:c r="I43" s="51" t="str"/>
    </x:row>
    <x:row r="44" ht="32" customHeight="1">
      <x:c r="A44" s="54" t="str">
        <x:v>Pure Mathematics</x:v>
      </x:c>
      <x:c r="B44" s="54" t="str">
        <x:v>Integration</x:v>
      </x:c>
      <x:c r="C44" s="55" t="str">
        <x:v>Integration by parts</x:v>
      </x:c>
      <x:c r="D44" s="40"/>
      <x:c r="E44" s="56" t="str">
        <x:v>Not assessed</x:v>
      </x:c>
      <x:c r="F44" s="57"/>
      <x:c r="G44" s="40" t="str">
        <x:f>IF(D44="","Not rated",IF(D44&lt;=2,"High",IF(D44=3,"Medium","Low")))</x:f>
        <x:v>Not rated</x:v>
      </x:c>
      <x:c r="H44" s="55" t="str"/>
      <x:c r="I44" s="55" t="str"/>
    </x:row>
    <x:row r="45" ht="32" customHeight="1">
      <x:c r="A45" s="50" t="str">
        <x:v>Pure Mathematics</x:v>
      </x:c>
      <x:c r="B45" s="50" t="str">
        <x:v>Integration</x:v>
      </x:c>
      <x:c r="C45" s="51" t="str">
        <x:v>Integration using partial fractions</x:v>
      </x:c>
      <x:c r="D45" s="40"/>
      <x:c r="E45" s="52" t="str">
        <x:v>Not assessed</x:v>
      </x:c>
      <x:c r="F45" s="53"/>
      <x:c r="G45" s="40" t="str">
        <x:f>IF(D45="","Not rated",IF(D45&lt;=2,"High",IF(D45=3,"Medium","Low")))</x:f>
        <x:v>Not rated</x:v>
      </x:c>
      <x:c r="H45" s="51" t="str"/>
      <x:c r="I45" s="51" t="str"/>
    </x:row>
    <x:row r="46" ht="32" customHeight="1">
      <x:c r="A46" s="54" t="str">
        <x:v>Pure Mathematics</x:v>
      </x:c>
      <x:c r="B46" s="54" t="str">
        <x:v>Integration</x:v>
      </x:c>
      <x:c r="C46" s="55" t="str">
        <x:v>Definite integrals and area between curves</x:v>
      </x:c>
      <x:c r="D46" s="40"/>
      <x:c r="E46" s="56" t="str">
        <x:v>Not assessed</x:v>
      </x:c>
      <x:c r="F46" s="57"/>
      <x:c r="G46" s="40" t="str">
        <x:f>IF(D46="","Not rated",IF(D46&lt;=2,"High",IF(D46=3,"Medium","Low")))</x:f>
        <x:v>Not rated</x:v>
      </x:c>
      <x:c r="H46" s="55" t="str"/>
      <x:c r="I46" s="55" t="str"/>
    </x:row>
    <x:row r="47" ht="32" customHeight="1">
      <x:c r="A47" s="50" t="str">
        <x:v>Pure Mathematics</x:v>
      </x:c>
      <x:c r="B47" s="50" t="str">
        <x:v>Integration</x:v>
      </x:c>
      <x:c r="C47" s="51" t="str">
        <x:v>Volumes of revolution</x:v>
      </x:c>
      <x:c r="D47" s="40"/>
      <x:c r="E47" s="52" t="str">
        <x:v>Not assessed</x:v>
      </x:c>
      <x:c r="F47" s="53"/>
      <x:c r="G47" s="40" t="str">
        <x:f>IF(D47="","Not rated",IF(D47&lt;=2,"High",IF(D47=3,"Medium","Low")))</x:f>
        <x:v>Not rated</x:v>
      </x:c>
      <x:c r="H47" s="51" t="str"/>
      <x:c r="I47" s="51" t="str"/>
    </x:row>
    <x:row r="48" ht="32" customHeight="1">
      <x:c r="A48" s="54" t="str">
        <x:v>Pure Mathematics</x:v>
      </x:c>
      <x:c r="B48" s="54" t="str">
        <x:v>Integration</x:v>
      </x:c>
      <x:c r="C48" s="55" t="str">
        <x:v>Parametric integration</x:v>
      </x:c>
      <x:c r="D48" s="40"/>
      <x:c r="E48" s="56" t="str">
        <x:v>Not assessed</x:v>
      </x:c>
      <x:c r="F48" s="57"/>
      <x:c r="G48" s="40" t="str">
        <x:f>IF(D48="","Not rated",IF(D48&lt;=2,"High",IF(D48=3,"Medium","Low")))</x:f>
        <x:v>Not rated</x:v>
      </x:c>
      <x:c r="H48" s="55" t="str"/>
      <x:c r="I48" s="55" t="str"/>
    </x:row>
    <x:row r="49" ht="32" customHeight="1">
      <x:c r="A49" s="50" t="str">
        <x:v>Pure Mathematics</x:v>
      </x:c>
      <x:c r="B49" s="50" t="str">
        <x:v>Differential Equations</x:v>
      </x:c>
      <x:c r="C49" s="51" t="str">
        <x:v>Forming differential equations</x:v>
      </x:c>
      <x:c r="D49" s="40"/>
      <x:c r="E49" s="52" t="str">
        <x:v>Not assessed</x:v>
      </x:c>
      <x:c r="F49" s="53"/>
      <x:c r="G49" s="40" t="str">
        <x:f>IF(D49="","Not rated",IF(D49&lt;=2,"High",IF(D49=3,"Medium","Low")))</x:f>
        <x:v>Not rated</x:v>
      </x:c>
      <x:c r="H49" s="51" t="str"/>
      <x:c r="I49" s="51" t="str"/>
    </x:row>
    <x:row r="50" ht="32" customHeight="1">
      <x:c r="A50" s="54" t="str">
        <x:v>Pure Mathematics</x:v>
      </x:c>
      <x:c r="B50" s="54" t="str">
        <x:v>Differential Equations</x:v>
      </x:c>
      <x:c r="C50" s="55" t="str">
        <x:v>Separation of variables</x:v>
      </x:c>
      <x:c r="D50" s="40"/>
      <x:c r="E50" s="56" t="str">
        <x:v>Not assessed</x:v>
      </x:c>
      <x:c r="F50" s="57"/>
      <x:c r="G50" s="40" t="str">
        <x:f>IF(D50="","Not rated",IF(D50&lt;=2,"High",IF(D50=3,"Medium","Low")))</x:f>
        <x:v>Not rated</x:v>
      </x:c>
      <x:c r="H50" s="55" t="str"/>
      <x:c r="I50" s="55" t="str"/>
    </x:row>
    <x:row r="51" ht="32" customHeight="1">
      <x:c r="A51" s="50" t="str">
        <x:v>Pure Mathematics</x:v>
      </x:c>
      <x:c r="B51" s="50" t="str">
        <x:v>Differential Equations</x:v>
      </x:c>
      <x:c r="C51" s="51" t="str">
        <x:v>General and particular solutions</x:v>
      </x:c>
      <x:c r="D51" s="40"/>
      <x:c r="E51" s="52" t="str">
        <x:v>Not assessed</x:v>
      </x:c>
      <x:c r="F51" s="53"/>
      <x:c r="G51" s="40" t="str">
        <x:f>IF(D51="","Not rated",IF(D51&lt;=2,"High",IF(D51=3,"Medium","Low")))</x:f>
        <x:v>Not rated</x:v>
      </x:c>
      <x:c r="H51" s="51" t="str"/>
      <x:c r="I51" s="51" t="str"/>
    </x:row>
    <x:row r="52" ht="32" customHeight="1">
      <x:c r="A52" s="54" t="str">
        <x:v>Pure Mathematics</x:v>
      </x:c>
      <x:c r="B52" s="54" t="str">
        <x:v>Differential Equations</x:v>
      </x:c>
      <x:c r="C52" s="55" t="str">
        <x:v>Initial conditions and modelling</x:v>
      </x:c>
      <x:c r="D52" s="40"/>
      <x:c r="E52" s="56" t="str">
        <x:v>Not assessed</x:v>
      </x:c>
      <x:c r="F52" s="57"/>
      <x:c r="G52" s="40" t="str">
        <x:f>IF(D52="","Not rated",IF(D52&lt;=2,"High",IF(D52=3,"Medium","Low")))</x:f>
        <x:v>Not rated</x:v>
      </x:c>
      <x:c r="H52" s="55" t="str"/>
      <x:c r="I52" s="55" t="str"/>
    </x:row>
    <x:row r="53" ht="32" customHeight="1">
      <x:c r="A53" s="50" t="str">
        <x:v>Pure Mathematics</x:v>
      </x:c>
      <x:c r="B53" s="50" t="str">
        <x:v>Numerical Methods</x:v>
      </x:c>
      <x:c r="C53" s="51" t="str">
        <x:v>Locating roots by sign change</x:v>
      </x:c>
      <x:c r="D53" s="40"/>
      <x:c r="E53" s="52" t="str">
        <x:v>Not assessed</x:v>
      </x:c>
      <x:c r="F53" s="53"/>
      <x:c r="G53" s="40" t="str">
        <x:f>IF(D53="","Not rated",IF(D53&lt;=2,"High",IF(D53=3,"Medium","Low")))</x:f>
        <x:v>Not rated</x:v>
      </x:c>
      <x:c r="H53" s="51" t="str"/>
      <x:c r="I53" s="51" t="str"/>
    </x:row>
    <x:row r="54" ht="32" customHeight="1">
      <x:c r="A54" s="54" t="str">
        <x:v>Pure Mathematics</x:v>
      </x:c>
      <x:c r="B54" s="54" t="str">
        <x:v>Numerical Methods</x:v>
      </x:c>
      <x:c r="C54" s="55" t="str">
        <x:v>Linear interpolation</x:v>
      </x:c>
      <x:c r="D54" s="40"/>
      <x:c r="E54" s="56" t="str">
        <x:v>Not assessed</x:v>
      </x:c>
      <x:c r="F54" s="57"/>
      <x:c r="G54" s="40" t="str">
        <x:f>IF(D54="","Not rated",IF(D54&lt;=2,"High",IF(D54=3,"Medium","Low")))</x:f>
        <x:v>Not rated</x:v>
      </x:c>
      <x:c r="H54" s="55" t="str"/>
      <x:c r="I54" s="55" t="str"/>
    </x:row>
    <x:row r="55" ht="32" customHeight="1">
      <x:c r="A55" s="50" t="str">
        <x:v>Pure Mathematics</x:v>
      </x:c>
      <x:c r="B55" s="50" t="str">
        <x:v>Numerical Methods</x:v>
      </x:c>
      <x:c r="C55" s="51" t="str">
        <x:v>Newton–Raphson method</x:v>
      </x:c>
      <x:c r="D55" s="40"/>
      <x:c r="E55" s="52" t="str">
        <x:v>Not assessed</x:v>
      </x:c>
      <x:c r="F55" s="53"/>
      <x:c r="G55" s="40" t="str">
        <x:f>IF(D55="","Not rated",IF(D55&lt;=2,"High",IF(D55=3,"Medium","Low")))</x:f>
        <x:v>Not rated</x:v>
      </x:c>
      <x:c r="H55" s="51" t="str"/>
      <x:c r="I55" s="51" t="str"/>
    </x:row>
    <x:row r="56" ht="32" customHeight="1">
      <x:c r="A56" s="54" t="str">
        <x:v>Pure Mathematics</x:v>
      </x:c>
      <x:c r="B56" s="54" t="str">
        <x:v>Numerical Methods</x:v>
      </x:c>
      <x:c r="C56" s="55" t="str">
        <x:v>Trapezium rule and numerical error</x:v>
      </x:c>
      <x:c r="D56" s="40"/>
      <x:c r="E56" s="56" t="str">
        <x:v>Not assessed</x:v>
      </x:c>
      <x:c r="F56" s="57"/>
      <x:c r="G56" s="40" t="str">
        <x:f>IF(D56="","Not rated",IF(D56&lt;=2,"High",IF(D56=3,"Medium","Low")))</x:f>
        <x:v>Not rated</x:v>
      </x:c>
      <x:c r="H56" s="55" t="str"/>
      <x:c r="I56" s="55" t="str"/>
    </x:row>
    <x:row r="57" ht="32" customHeight="1">
      <x:c r="A57" s="50" t="str">
        <x:v>Pure Mathematics</x:v>
      </x:c>
      <x:c r="B57" s="50" t="str">
        <x:v>Complex Numbers</x:v>
      </x:c>
      <x:c r="C57" s="51" t="str">
        <x:v>Cartesian form and basic operations</x:v>
      </x:c>
      <x:c r="D57" s="40"/>
      <x:c r="E57" s="52" t="str">
        <x:v>Not assessed</x:v>
      </x:c>
      <x:c r="F57" s="53"/>
      <x:c r="G57" s="40" t="str">
        <x:f>IF(D57="","Not rated",IF(D57&lt;=2,"High",IF(D57=3,"Medium","Low")))</x:f>
        <x:v>Not rated</x:v>
      </x:c>
      <x:c r="H57" s="51" t="str"/>
      <x:c r="I57" s="51" t="str"/>
    </x:row>
    <x:row r="58" ht="32" customHeight="1">
      <x:c r="A58" s="54" t="str">
        <x:v>Pure Mathematics</x:v>
      </x:c>
      <x:c r="B58" s="54" t="str">
        <x:v>Complex Numbers</x:v>
      </x:c>
      <x:c r="C58" s="55" t="str">
        <x:v>Modulus, argument and Argand diagrams</x:v>
      </x:c>
      <x:c r="D58" s="40"/>
      <x:c r="E58" s="56" t="str">
        <x:v>Not assessed</x:v>
      </x:c>
      <x:c r="F58" s="57"/>
      <x:c r="G58" s="40" t="str">
        <x:f>IF(D58="","Not rated",IF(D58&lt;=2,"High",IF(D58=3,"Medium","Low")))</x:f>
        <x:v>Not rated</x:v>
      </x:c>
      <x:c r="H58" s="55" t="str"/>
      <x:c r="I58" s="55" t="str"/>
    </x:row>
    <x:row r="59" ht="32" customHeight="1">
      <x:c r="A59" s="50" t="str">
        <x:v>Pure Mathematics</x:v>
      </x:c>
      <x:c r="B59" s="50" t="str">
        <x:v>Complex Numbers</x:v>
      </x:c>
      <x:c r="C59" s="51" t="str">
        <x:v>Polar form, multiplication and division</x:v>
      </x:c>
      <x:c r="D59" s="40"/>
      <x:c r="E59" s="52" t="str">
        <x:v>Not assessed</x:v>
      </x:c>
      <x:c r="F59" s="53"/>
      <x:c r="G59" s="40" t="str">
        <x:f>IF(D59="","Not rated",IF(D59&lt;=2,"High",IF(D59=3,"Medium","Low")))</x:f>
        <x:v>Not rated</x:v>
      </x:c>
      <x:c r="H59" s="51" t="str"/>
      <x:c r="I59" s="51" t="str"/>
    </x:row>
    <x:row r="60" ht="32" customHeight="1">
      <x:c r="A60" s="54" t="str">
        <x:v>Pure Mathematics</x:v>
      </x:c>
      <x:c r="B60" s="54" t="str">
        <x:v>Complex Numbers</x:v>
      </x:c>
      <x:c r="C60" s="55" t="str">
        <x:v>De Moivre’s theorem</x:v>
      </x:c>
      <x:c r="D60" s="40"/>
      <x:c r="E60" s="56" t="str">
        <x:v>Not assessed</x:v>
      </x:c>
      <x:c r="F60" s="57"/>
      <x:c r="G60" s="40" t="str">
        <x:f>IF(D60="","Not rated",IF(D60&lt;=2,"High",IF(D60=3,"Medium","Low")))</x:f>
        <x:v>Not rated</x:v>
      </x:c>
      <x:c r="H60" s="55" t="str"/>
      <x:c r="I60" s="55" t="str"/>
    </x:row>
    <x:row r="61" ht="32" customHeight="1">
      <x:c r="A61" s="50" t="str">
        <x:v>Pure Mathematics</x:v>
      </x:c>
      <x:c r="B61" s="50" t="str">
        <x:v>Complex Numbers</x:v>
      </x:c>
      <x:c r="C61" s="51" t="str">
        <x:v>Roots of complex numbers</x:v>
      </x:c>
      <x:c r="D61" s="40"/>
      <x:c r="E61" s="52" t="str">
        <x:v>Not assessed</x:v>
      </x:c>
      <x:c r="F61" s="53"/>
      <x:c r="G61" s="40" t="str">
        <x:f>IF(D61="","Not rated",IF(D61&lt;=2,"High",IF(D61=3,"Medium","Low")))</x:f>
        <x:v>Not rated</x:v>
      </x:c>
      <x:c r="H61" s="51" t="str"/>
      <x:c r="I61" s="51" t="str"/>
    </x:row>
    <x:row r="62" ht="32" customHeight="1">
      <x:c r="A62" s="54" t="str">
        <x:v>Pure Mathematics</x:v>
      </x:c>
      <x:c r="B62" s="54" t="str">
        <x:v>Complex Numbers</x:v>
      </x:c>
      <x:c r="C62" s="55" t="str">
        <x:v>Polynomial equations with complex roots</x:v>
      </x:c>
      <x:c r="D62" s="40"/>
      <x:c r="E62" s="56" t="str">
        <x:v>Not assessed</x:v>
      </x:c>
      <x:c r="F62" s="57"/>
      <x:c r="G62" s="40" t="str">
        <x:f>IF(D62="","Not rated",IF(D62&lt;=2,"High",IF(D62=3,"Medium","Low")))</x:f>
        <x:v>Not rated</x:v>
      </x:c>
      <x:c r="H62" s="55" t="str"/>
      <x:c r="I62" s="55" t="str"/>
    </x:row>
    <x:row r="63" ht="32" customHeight="1">
      <x:c r="A63" s="50" t="str">
        <x:v>Pure Mathematics</x:v>
      </x:c>
      <x:c r="B63" s="50" t="str">
        <x:v>Complex Numbers</x:v>
      </x:c>
      <x:c r="C63" s="51" t="str">
        <x:v>Loci in the Argand diagram</x:v>
      </x:c>
      <x:c r="D63" s="40"/>
      <x:c r="E63" s="52" t="str">
        <x:v>Not assessed</x:v>
      </x:c>
      <x:c r="F63" s="53"/>
      <x:c r="G63" s="40" t="str">
        <x:f>IF(D63="","Not rated",IF(D63&lt;=2,"High",IF(D63=3,"Medium","Low")))</x:f>
        <x:v>Not rated</x:v>
      </x:c>
      <x:c r="H63" s="51" t="str"/>
      <x:c r="I63" s="51" t="str"/>
    </x:row>
    <x:row r="64" ht="32" customHeight="1">
      <x:c r="A64" s="54" t="str">
        <x:v>Pure Mathematics</x:v>
      </x:c>
      <x:c r="B64" s="54" t="str">
        <x:v>Vectors</x:v>
      </x:c>
      <x:c r="C64" s="55" t="str">
        <x:v>Vector basics, magnitude and unit vectors</x:v>
      </x:c>
      <x:c r="D64" s="40"/>
      <x:c r="E64" s="56" t="str">
        <x:v>Not assessed</x:v>
      </x:c>
      <x:c r="F64" s="57"/>
      <x:c r="G64" s="40" t="str">
        <x:f>IF(D64="","Not rated",IF(D64&lt;=2,"High",IF(D64=3,"Medium","Low")))</x:f>
        <x:v>Not rated</x:v>
      </x:c>
      <x:c r="H64" s="55" t="str"/>
      <x:c r="I64" s="55" t="str"/>
    </x:row>
    <x:row r="65" ht="32" customHeight="1">
      <x:c r="A65" s="50" t="str">
        <x:v>Pure Mathematics</x:v>
      </x:c>
      <x:c r="B65" s="50" t="str">
        <x:v>Vectors</x:v>
      </x:c>
      <x:c r="C65" s="51" t="str">
        <x:v>Scalar product and angles</x:v>
      </x:c>
      <x:c r="D65" s="40"/>
      <x:c r="E65" s="52" t="str">
        <x:v>Not assessed</x:v>
      </x:c>
      <x:c r="F65" s="53"/>
      <x:c r="G65" s="40" t="str">
        <x:f>IF(D65="","Not rated",IF(D65&lt;=2,"High",IF(D65=3,"Medium","Low")))</x:f>
        <x:v>Not rated</x:v>
      </x:c>
      <x:c r="H65" s="51" t="str"/>
      <x:c r="I65" s="51" t="str"/>
    </x:row>
    <x:row r="66" ht="32" customHeight="1">
      <x:c r="A66" s="54" t="str">
        <x:v>Pure Mathematics</x:v>
      </x:c>
      <x:c r="B66" s="54" t="str">
        <x:v>Vectors</x:v>
      </x:c>
      <x:c r="C66" s="55" t="str">
        <x:v>Vector equation of a line</x:v>
      </x:c>
      <x:c r="D66" s="40"/>
      <x:c r="E66" s="56" t="str">
        <x:v>Not assessed</x:v>
      </x:c>
      <x:c r="F66" s="57"/>
      <x:c r="G66" s="40" t="str">
        <x:f>IF(D66="","Not rated",IF(D66&lt;=2,"High",IF(D66=3,"Medium","Low")))</x:f>
        <x:v>Not rated</x:v>
      </x:c>
      <x:c r="H66" s="55" t="str"/>
      <x:c r="I66" s="55" t="str"/>
    </x:row>
    <x:row r="67" ht="32" customHeight="1">
      <x:c r="A67" s="50" t="str">
        <x:v>Pure Mathematics</x:v>
      </x:c>
      <x:c r="B67" s="50" t="str">
        <x:v>Vectors</x:v>
      </x:c>
      <x:c r="C67" s="51" t="str">
        <x:v>Vector equation of a plane</x:v>
      </x:c>
      <x:c r="D67" s="40"/>
      <x:c r="E67" s="52" t="str">
        <x:v>Not assessed</x:v>
      </x:c>
      <x:c r="F67" s="53"/>
      <x:c r="G67" s="40" t="str">
        <x:f>IF(D67="","Not rated",IF(D67&lt;=2,"High",IF(D67=3,"Medium","Low")))</x:f>
        <x:v>Not rated</x:v>
      </x:c>
      <x:c r="H67" s="51" t="str"/>
      <x:c r="I67" s="51" t="str"/>
    </x:row>
    <x:row r="68" ht="32" customHeight="1">
      <x:c r="A68" s="54" t="str">
        <x:v>Pure Mathematics</x:v>
      </x:c>
      <x:c r="B68" s="54" t="str">
        <x:v>Vectors</x:v>
      </x:c>
      <x:c r="C68" s="55" t="str">
        <x:v>Intersections and relative positions</x:v>
      </x:c>
      <x:c r="D68" s="40"/>
      <x:c r="E68" s="56" t="str">
        <x:v>Not assessed</x:v>
      </x:c>
      <x:c r="F68" s="57"/>
      <x:c r="G68" s="40" t="str">
        <x:f>IF(D68="","Not rated",IF(D68&lt;=2,"High",IF(D68=3,"Medium","Low")))</x:f>
        <x:v>Not rated</x:v>
      </x:c>
      <x:c r="H68" s="55" t="str"/>
      <x:c r="I68" s="55" t="str"/>
    </x:row>
    <x:row r="69" ht="32" customHeight="1">
      <x:c r="A69" s="50" t="str">
        <x:v>Pure Mathematics</x:v>
      </x:c>
      <x:c r="B69" s="50" t="str">
        <x:v>Vectors</x:v>
      </x:c>
      <x:c r="C69" s="51" t="str">
        <x:v>Angles between lines and planes</x:v>
      </x:c>
      <x:c r="D69" s="40"/>
      <x:c r="E69" s="52" t="str">
        <x:v>Not assessed</x:v>
      </x:c>
      <x:c r="F69" s="53"/>
      <x:c r="G69" s="40" t="str">
        <x:f>IF(D69="","Not rated",IF(D69&lt;=2,"High",IF(D69=3,"Medium","Low")))</x:f>
        <x:v>Not rated</x:v>
      </x:c>
      <x:c r="H69" s="51" t="str"/>
      <x:c r="I69" s="51" t="str"/>
    </x:row>
    <x:row r="70" ht="32" customHeight="1">
      <x:c r="A70" s="54" t="str">
        <x:v>Pure Mathematics</x:v>
      </x:c>
      <x:c r="B70" s="54" t="str">
        <x:v>Vectors</x:v>
      </x:c>
      <x:c r="C70" s="55" t="str">
        <x:v>Distances, perpendicular feet and reflections</x:v>
      </x:c>
      <x:c r="D70" s="40"/>
      <x:c r="E70" s="56" t="str">
        <x:v>Not assessed</x:v>
      </x:c>
      <x:c r="F70" s="57"/>
      <x:c r="G70" s="40" t="str">
        <x:f>IF(D70="","Not rated",IF(D70&lt;=2,"High",IF(D70=3,"Medium","Low")))</x:f>
        <x:v>Not rated</x:v>
      </x:c>
      <x:c r="H70" s="55" t="str"/>
      <x:c r="I70" s="55" t="str"/>
    </x:row>
    <x:row r="71" ht="32" customHeight="1">
      <x:c r="A71" s="50" t="str">
        <x:v>Probability &amp; Statistics</x:v>
      </x:c>
      <x:c r="B71" s="50" t="str">
        <x:v>Permutations &amp; Combinations</x:v>
      </x:c>
      <x:c r="C71" s="51" t="str">
        <x:v>Counting principle, factorial notation and arrangements</x:v>
      </x:c>
      <x:c r="D71" s="40"/>
      <x:c r="E71" s="52" t="str">
        <x:v>Not assessed</x:v>
      </x:c>
      <x:c r="F71" s="53"/>
      <x:c r="G71" s="40" t="str">
        <x:f>IF(D71="","Not rated",IF(D71&lt;=2,"High",IF(D71=3,"Medium","Low")))</x:f>
        <x:v>Not rated</x:v>
      </x:c>
      <x:c r="H71" s="51" t="str"/>
      <x:c r="I71" s="51" t="str"/>
    </x:row>
    <x:row r="72" ht="32" customHeight="1">
      <x:c r="A72" s="54" t="str">
        <x:v>Probability &amp; Statistics</x:v>
      </x:c>
      <x:c r="B72" s="54" t="str">
        <x:v>Permutations &amp; Combinations</x:v>
      </x:c>
      <x:c r="C72" s="55" t="str">
        <x:v>Permutations with restrictions or identical objects</x:v>
      </x:c>
      <x:c r="D72" s="40"/>
      <x:c r="E72" s="56" t="str">
        <x:v>Not assessed</x:v>
      </x:c>
      <x:c r="F72" s="57"/>
      <x:c r="G72" s="40" t="str">
        <x:f>IF(D72="","Not rated",IF(D72&lt;=2,"High",IF(D72=3,"Medium","Low")))</x:f>
        <x:v>Not rated</x:v>
      </x:c>
      <x:c r="H72" s="55" t="str"/>
      <x:c r="I72" s="55" t="str"/>
    </x:row>
    <x:row r="73" ht="32" customHeight="1">
      <x:c r="A73" s="50" t="str">
        <x:v>Probability &amp; Statistics</x:v>
      </x:c>
      <x:c r="B73" s="50" t="str">
        <x:v>Permutations &amp; Combinations</x:v>
      </x:c>
      <x:c r="C73" s="51" t="str">
        <x:v>Combinations, selections and grouping</x:v>
      </x:c>
      <x:c r="D73" s="40"/>
      <x:c r="E73" s="52" t="str">
        <x:v>Not assessed</x:v>
      </x:c>
      <x:c r="F73" s="53"/>
      <x:c r="G73" s="40" t="str">
        <x:f>IF(D73="","Not rated",IF(D73&lt;=2,"High",IF(D73=3,"Medium","Low")))</x:f>
        <x:v>Not rated</x:v>
      </x:c>
      <x:c r="H73" s="51" t="str"/>
      <x:c r="I73" s="51" t="str"/>
    </x:row>
    <x:row r="74" ht="32" customHeight="1">
      <x:c r="A74" s="54" t="str">
        <x:v>Probability &amp; Statistics</x:v>
      </x:c>
      <x:c r="B74" s="54" t="str">
        <x:v>Probability</x:v>
      </x:c>
      <x:c r="C74" s="55" t="str">
        <x:v>Probability laws and complementary events</x:v>
      </x:c>
      <x:c r="D74" s="40"/>
      <x:c r="E74" s="56" t="str">
        <x:v>Not assessed</x:v>
      </x:c>
      <x:c r="F74" s="57"/>
      <x:c r="G74" s="40" t="str">
        <x:f>IF(D74="","Not rated",IF(D74&lt;=2,"High",IF(D74=3,"Medium","Low")))</x:f>
        <x:v>Not rated</x:v>
      </x:c>
      <x:c r="H74" s="55" t="str"/>
      <x:c r="I74" s="55" t="str"/>
    </x:row>
    <x:row r="75" ht="32" customHeight="1">
      <x:c r="A75" s="50" t="str">
        <x:v>Probability &amp; Statistics</x:v>
      </x:c>
      <x:c r="B75" s="50" t="str">
        <x:v>Probability</x:v>
      </x:c>
      <x:c r="C75" s="51" t="str">
        <x:v>Mutually exclusive and independent events</x:v>
      </x:c>
      <x:c r="D75" s="40"/>
      <x:c r="E75" s="52" t="str">
        <x:v>Not assessed</x:v>
      </x:c>
      <x:c r="F75" s="53"/>
      <x:c r="G75" s="40" t="str">
        <x:f>IF(D75="","Not rated",IF(D75&lt;=2,"High",IF(D75=3,"Medium","Low")))</x:f>
        <x:v>Not rated</x:v>
      </x:c>
      <x:c r="H75" s="51" t="str"/>
      <x:c r="I75" s="51" t="str"/>
    </x:row>
    <x:row r="76" ht="32" customHeight="1">
      <x:c r="A76" s="54" t="str">
        <x:v>Probability &amp; Statistics</x:v>
      </x:c>
      <x:c r="B76" s="54" t="str">
        <x:v>Probability</x:v>
      </x:c>
      <x:c r="C76" s="55" t="str">
        <x:v>Conditional probability and tree diagrams</x:v>
      </x:c>
      <x:c r="D76" s="40"/>
      <x:c r="E76" s="56" t="str">
        <x:v>Not assessed</x:v>
      </x:c>
      <x:c r="F76" s="57"/>
      <x:c r="G76" s="40" t="str">
        <x:f>IF(D76="","Not rated",IF(D76&lt;=2,"High",IF(D76=3,"Medium","Low")))</x:f>
        <x:v>Not rated</x:v>
      </x:c>
      <x:c r="H76" s="55" t="str"/>
      <x:c r="I76" s="55" t="str"/>
    </x:row>
    <x:row r="77" ht="32" customHeight="1">
      <x:c r="A77" s="50" t="str">
        <x:v>Probability &amp; Statistics</x:v>
      </x:c>
      <x:c r="B77" s="50" t="str">
        <x:v>Discrete Random Variables</x:v>
      </x:c>
      <x:c r="C77" s="51" t="str">
        <x:v>Constructing a probability distribution</x:v>
      </x:c>
      <x:c r="D77" s="40"/>
      <x:c r="E77" s="52" t="str">
        <x:v>Not assessed</x:v>
      </x:c>
      <x:c r="F77" s="53"/>
      <x:c r="G77" s="40" t="str">
        <x:f>IF(D77="","Not rated",IF(D77&lt;=2,"High",IF(D77=3,"Medium","Low")))</x:f>
        <x:v>Not rated</x:v>
      </x:c>
      <x:c r="H77" s="51" t="str"/>
      <x:c r="I77" s="51" t="str"/>
    </x:row>
    <x:row r="78" ht="32" customHeight="1">
      <x:c r="A78" s="54" t="str">
        <x:v>Probability &amp; Statistics</x:v>
      </x:c>
      <x:c r="B78" s="54" t="str">
        <x:v>Discrete Random Variables</x:v>
      </x:c>
      <x:c r="C78" s="55" t="str">
        <x:v>Expectation and variance</x:v>
      </x:c>
      <x:c r="D78" s="40"/>
      <x:c r="E78" s="56" t="str">
        <x:v>Not assessed</x:v>
      </x:c>
      <x:c r="F78" s="57"/>
      <x:c r="G78" s="40" t="str">
        <x:f>IF(D78="","Not rated",IF(D78&lt;=2,"High",IF(D78=3,"Medium","Low")))</x:f>
        <x:v>Not rated</x:v>
      </x:c>
      <x:c r="H78" s="55" t="str"/>
      <x:c r="I78" s="55" t="str"/>
    </x:row>
    <x:row r="79" ht="32" customHeight="1">
      <x:c r="A79" s="50" t="str">
        <x:v>Probability &amp; Statistics</x:v>
      </x:c>
      <x:c r="B79" s="50" t="str">
        <x:v>Discrete Random Variables</x:v>
      </x:c>
      <x:c r="C79" s="51" t="str">
        <x:v>Functions of a random variable and expected gain</x:v>
      </x:c>
      <x:c r="D79" s="40"/>
      <x:c r="E79" s="52" t="str">
        <x:v>Not assessed</x:v>
      </x:c>
      <x:c r="F79" s="53"/>
      <x:c r="G79" s="40" t="str">
        <x:f>IF(D79="","Not rated",IF(D79&lt;=2,"High",IF(D79=3,"Medium","Low")))</x:f>
        <x:v>Not rated</x:v>
      </x:c>
      <x:c r="H79" s="51" t="str"/>
      <x:c r="I79" s="51" t="str"/>
    </x:row>
    <x:row r="80" ht="32" customHeight="1">
      <x:c r="A80" s="54" t="str">
        <x:v>Probability &amp; Statistics</x:v>
      </x:c>
      <x:c r="B80" s="54" t="str">
        <x:v>Binomial Distribution</x:v>
      </x:c>
      <x:c r="C80" s="55" t="str">
        <x:v>Model conditions and probability calculations</x:v>
      </x:c>
      <x:c r="D80" s="40"/>
      <x:c r="E80" s="56" t="str">
        <x:v>Not assessed</x:v>
      </x:c>
      <x:c r="F80" s="57"/>
      <x:c r="G80" s="40" t="str">
        <x:f>IF(D80="","Not rated",IF(D80&lt;=2,"High",IF(D80=3,"Medium","Low")))</x:f>
        <x:v>Not rated</x:v>
      </x:c>
      <x:c r="H80" s="55" t="str"/>
      <x:c r="I80" s="55" t="str"/>
    </x:row>
    <x:row r="81" ht="32" customHeight="1">
      <x:c r="A81" s="50" t="str">
        <x:v>Probability &amp; Statistics</x:v>
      </x:c>
      <x:c r="B81" s="50" t="str">
        <x:v>Binomial Distribution</x:v>
      </x:c>
      <x:c r="C81" s="51" t="str">
        <x:v>Mean, variance and inverse questions</x:v>
      </x:c>
      <x:c r="D81" s="40"/>
      <x:c r="E81" s="52" t="str">
        <x:v>Not assessed</x:v>
      </x:c>
      <x:c r="F81" s="53"/>
      <x:c r="G81" s="40" t="str">
        <x:f>IF(D81="","Not rated",IF(D81&lt;=2,"High",IF(D81=3,"Medium","Low")))</x:f>
        <x:v>Not rated</x:v>
      </x:c>
      <x:c r="H81" s="51" t="str"/>
      <x:c r="I81" s="51" t="str"/>
    </x:row>
    <x:row r="82" ht="32" customHeight="1">
      <x:c r="A82" s="54" t="str">
        <x:v>Probability &amp; Statistics</x:v>
      </x:c>
      <x:c r="B82" s="54" t="str">
        <x:v>Poisson Distribution</x:v>
      </x:c>
      <x:c r="C82" s="55" t="str">
        <x:v>Model conditions and probability calculations</x:v>
      </x:c>
      <x:c r="D82" s="40"/>
      <x:c r="E82" s="56" t="str">
        <x:v>Not assessed</x:v>
      </x:c>
      <x:c r="F82" s="57"/>
      <x:c r="G82" s="40" t="str">
        <x:f>IF(D82="","Not rated",IF(D82&lt;=2,"High",IF(D82=3,"Medium","Low")))</x:f>
        <x:v>Not rated</x:v>
      </x:c>
      <x:c r="H82" s="55" t="str"/>
      <x:c r="I82" s="55" t="str"/>
    </x:row>
    <x:row r="83" ht="32" customHeight="1">
      <x:c r="A83" s="50" t="str">
        <x:v>Probability &amp; Statistics</x:v>
      </x:c>
      <x:c r="B83" s="50" t="str">
        <x:v>Poisson Distribution</x:v>
      </x:c>
      <x:c r="C83" s="51" t="str">
        <x:v>Mean, variance and combining Poisson variables</x:v>
      </x:c>
      <x:c r="D83" s="40"/>
      <x:c r="E83" s="52" t="str">
        <x:v>Not assessed</x:v>
      </x:c>
      <x:c r="F83" s="53"/>
      <x:c r="G83" s="40" t="str">
        <x:f>IF(D83="","Not rated",IF(D83&lt;=2,"High",IF(D83=3,"Medium","Low")))</x:f>
        <x:v>Not rated</x:v>
      </x:c>
      <x:c r="H83" s="51" t="str"/>
      <x:c r="I83" s="51" t="str"/>
    </x:row>
    <x:row r="84" ht="32" customHeight="1">
      <x:c r="A84" s="54" t="str">
        <x:v>Probability &amp; Statistics</x:v>
      </x:c>
      <x:c r="B84" s="54" t="str">
        <x:v>Poisson Distribution</x:v>
      </x:c>
      <x:c r="C84" s="55" t="str">
        <x:v>Poisson approximation to binomial</x:v>
      </x:c>
      <x:c r="D84" s="40"/>
      <x:c r="E84" s="56" t="str">
        <x:v>Not assessed</x:v>
      </x:c>
      <x:c r="F84" s="57"/>
      <x:c r="G84" s="40" t="str">
        <x:f>IF(D84="","Not rated",IF(D84&lt;=2,"High",IF(D84=3,"Medium","Low")))</x:f>
        <x:v>Not rated</x:v>
      </x:c>
      <x:c r="H84" s="55" t="str"/>
      <x:c r="I84" s="55" t="str"/>
    </x:row>
    <x:row r="85" ht="32" customHeight="1">
      <x:c r="A85" s="50" t="str">
        <x:v>Probability &amp; Statistics</x:v>
      </x:c>
      <x:c r="B85" s="50" t="str">
        <x:v>Normal Distribution</x:v>
      </x:c>
      <x:c r="C85" s="51" t="str">
        <x:v>Standardisation and probability calculations</x:v>
      </x:c>
      <x:c r="D85" s="40"/>
      <x:c r="E85" s="52" t="str">
        <x:v>Not assessed</x:v>
      </x:c>
      <x:c r="F85" s="53"/>
      <x:c r="G85" s="40" t="str">
        <x:f>IF(D85="","Not rated",IF(D85&lt;=2,"High",IF(D85=3,"Medium","Low")))</x:f>
        <x:v>Not rated</x:v>
      </x:c>
      <x:c r="H85" s="51" t="str"/>
      <x:c r="I85" s="51" t="str"/>
    </x:row>
    <x:row r="86" ht="32" customHeight="1">
      <x:c r="A86" s="54" t="str">
        <x:v>Probability &amp; Statistics</x:v>
      </x:c>
      <x:c r="B86" s="54" t="str">
        <x:v>Normal Distribution</x:v>
      </x:c>
      <x:c r="C86" s="55" t="str">
        <x:v>Finding unknown parameters</x:v>
      </x:c>
      <x:c r="D86" s="40"/>
      <x:c r="E86" s="56" t="str">
        <x:v>Not assessed</x:v>
      </x:c>
      <x:c r="F86" s="57"/>
      <x:c r="G86" s="40" t="str">
        <x:f>IF(D86="","Not rated",IF(D86&lt;=2,"High",IF(D86=3,"Medium","Low")))</x:f>
        <x:v>Not rated</x:v>
      </x:c>
      <x:c r="H86" s="55" t="str"/>
      <x:c r="I86" s="55" t="str"/>
    </x:row>
    <x:row r="87" ht="32" customHeight="1">
      <x:c r="A87" s="50" t="str">
        <x:v>Probability &amp; Statistics</x:v>
      </x:c>
      <x:c r="B87" s="50" t="str">
        <x:v>Normal Distribution</x:v>
      </x:c>
      <x:c r="C87" s="51" t="str">
        <x:v>Normal approximations and continuity correction</x:v>
      </x:c>
      <x:c r="D87" s="40"/>
      <x:c r="E87" s="52" t="str">
        <x:v>Not assessed</x:v>
      </x:c>
      <x:c r="F87" s="53"/>
      <x:c r="G87" s="40" t="str">
        <x:f>IF(D87="","Not rated",IF(D87&lt;=2,"High",IF(D87=3,"Medium","Low")))</x:f>
        <x:v>Not rated</x:v>
      </x:c>
      <x:c r="H87" s="51" t="str"/>
      <x:c r="I87" s="51" t="str"/>
    </x:row>
    <x:row r="88" ht="32" customHeight="1">
      <x:c r="A88" s="54" t="str">
        <x:v>Probability &amp; Statistics</x:v>
      </x:c>
      <x:c r="B88" s="54" t="str">
        <x:v>Sampling</x:v>
      </x:c>
      <x:c r="C88" s="55" t="str">
        <x:v>Population, sample and random sampling</x:v>
      </x:c>
      <x:c r="D88" s="40"/>
      <x:c r="E88" s="56" t="str">
        <x:v>Not assessed</x:v>
      </x:c>
      <x:c r="F88" s="57"/>
      <x:c r="G88" s="40" t="str">
        <x:f>IF(D88="","Not rated",IF(D88&lt;=2,"High",IF(D88=3,"Medium","Low")))</x:f>
        <x:v>Not rated</x:v>
      </x:c>
      <x:c r="H88" s="55" t="str"/>
      <x:c r="I88" s="55" t="str"/>
    </x:row>
    <x:row r="89" ht="32" customHeight="1">
      <x:c r="A89" s="50" t="str">
        <x:v>Probability &amp; Statistics</x:v>
      </x:c>
      <x:c r="B89" s="50" t="str">
        <x:v>Sampling</x:v>
      </x:c>
      <x:c r="C89" s="51" t="str">
        <x:v>Distribution of the sample mean and standard error</x:v>
      </x:c>
      <x:c r="D89" s="40"/>
      <x:c r="E89" s="52" t="str">
        <x:v>Not assessed</x:v>
      </x:c>
      <x:c r="F89" s="53"/>
      <x:c r="G89" s="40" t="str">
        <x:f>IF(D89="","Not rated",IF(D89&lt;=2,"High",IF(D89=3,"Medium","Low")))</x:f>
        <x:v>Not rated</x:v>
      </x:c>
      <x:c r="H89" s="51" t="str"/>
      <x:c r="I89" s="51" t="str"/>
    </x:row>
    <x:row r="90" ht="32" customHeight="1">
      <x:c r="A90" s="54" t="str">
        <x:v>Probability &amp; Statistics</x:v>
      </x:c>
      <x:c r="B90" s="54" t="str">
        <x:v>Sampling</x:v>
      </x:c>
      <x:c r="C90" s="55" t="str">
        <x:v>Central Limit Theorem</x:v>
      </x:c>
      <x:c r="D90" s="40"/>
      <x:c r="E90" s="56" t="str">
        <x:v>Not assessed</x:v>
      </x:c>
      <x:c r="F90" s="57"/>
      <x:c r="G90" s="40" t="str">
        <x:f>IF(D90="","Not rated",IF(D90&lt;=2,"High",IF(D90=3,"Medium","Low")))</x:f>
        <x:v>Not rated</x:v>
      </x:c>
      <x:c r="H90" s="55" t="str"/>
      <x:c r="I90" s="55" t="str"/>
    </x:row>
    <x:row r="91" ht="32" customHeight="1">
      <x:c r="A91" s="50" t="str">
        <x:v>Probability &amp; Statistics</x:v>
      </x:c>
      <x:c r="B91" s="50" t="str">
        <x:v>Sampling</x:v>
      </x:c>
      <x:c r="C91" s="51" t="str">
        <x:v>Unbiased estimates of population mean and variance</x:v>
      </x:c>
      <x:c r="D91" s="40"/>
      <x:c r="E91" s="52" t="str">
        <x:v>Not assessed</x:v>
      </x:c>
      <x:c r="F91" s="53"/>
      <x:c r="G91" s="40" t="str">
        <x:f>IF(D91="","Not rated",IF(D91&lt;=2,"High",IF(D91=3,"Medium","Low")))</x:f>
        <x:v>Not rated</x:v>
      </x:c>
      <x:c r="H91" s="51" t="str"/>
      <x:c r="I91" s="51" t="str"/>
    </x:row>
    <x:row r="92" ht="32" customHeight="1">
      <x:c r="A92" s="54" t="str">
        <x:v>Probability &amp; Statistics</x:v>
      </x:c>
      <x:c r="B92" s="54" t="str">
        <x:v>Hypothesis Testing</x:v>
      </x:c>
      <x:c r="C92" s="55" t="str">
        <x:v>Null and alternative hypotheses</x:v>
      </x:c>
      <x:c r="D92" s="40"/>
      <x:c r="E92" s="56" t="str">
        <x:v>Not assessed</x:v>
      </x:c>
      <x:c r="F92" s="57"/>
      <x:c r="G92" s="40" t="str">
        <x:f>IF(D92="","Not rated",IF(D92&lt;=2,"High",IF(D92=3,"Medium","Low")))</x:f>
        <x:v>Not rated</x:v>
      </x:c>
      <x:c r="H92" s="55" t="str"/>
      <x:c r="I92" s="55" t="str"/>
    </x:row>
    <x:row r="93" ht="32" customHeight="1">
      <x:c r="A93" s="50" t="str">
        <x:v>Probability &amp; Statistics</x:v>
      </x:c>
      <x:c r="B93" s="50" t="str">
        <x:v>Hypothesis Testing</x:v>
      </x:c>
      <x:c r="C93" s="51" t="str">
        <x:v>One-tailed and two-tailed tests</x:v>
      </x:c>
      <x:c r="D93" s="40"/>
      <x:c r="E93" s="52" t="str">
        <x:v>Not assessed</x:v>
      </x:c>
      <x:c r="F93" s="53"/>
      <x:c r="G93" s="40" t="str">
        <x:f>IF(D93="","Not rated",IF(D93&lt;=2,"High",IF(D93=3,"Medium","Low")))</x:f>
        <x:v>Not rated</x:v>
      </x:c>
      <x:c r="H93" s="51" t="str"/>
      <x:c r="I93" s="51" t="str"/>
    </x:row>
    <x:row r="94" ht="32" customHeight="1">
      <x:c r="A94" s="54" t="str">
        <x:v>Probability &amp; Statistics</x:v>
      </x:c>
      <x:c r="B94" s="54" t="str">
        <x:v>Hypothesis Testing</x:v>
      </x:c>
      <x:c r="C94" s="55" t="str">
        <x:v>Significance level, critical region and p-value</x:v>
      </x:c>
      <x:c r="D94" s="40"/>
      <x:c r="E94" s="56" t="str">
        <x:v>Not assessed</x:v>
      </x:c>
      <x:c r="F94" s="57"/>
      <x:c r="G94" s="40" t="str">
        <x:f>IF(D94="","Not rated",IF(D94&lt;=2,"High",IF(D94=3,"Medium","Low")))</x:f>
        <x:v>Not rated</x:v>
      </x:c>
      <x:c r="H94" s="55" t="str"/>
      <x:c r="I94" s="55" t="str"/>
    </x:row>
    <x:row r="95" ht="32" customHeight="1">
      <x:c r="A95" s="50" t="str">
        <x:v>Probability &amp; Statistics</x:v>
      </x:c>
      <x:c r="B95" s="50" t="str">
        <x:v>Hypothesis Testing</x:v>
      </x:c>
      <x:c r="C95" s="51" t="str">
        <x:v>Tests for population mean</x:v>
      </x:c>
      <x:c r="D95" s="40"/>
      <x:c r="E95" s="52" t="str">
        <x:v>Not assessed</x:v>
      </x:c>
      <x:c r="F95" s="53"/>
      <x:c r="G95" s="40" t="str">
        <x:f>IF(D95="","Not rated",IF(D95&lt;=2,"High",IF(D95=3,"Medium","Low")))</x:f>
        <x:v>Not rated</x:v>
      </x:c>
      <x:c r="H95" s="51" t="str"/>
      <x:c r="I95" s="51" t="str"/>
    </x:row>
    <x:row r="96" ht="32" customHeight="1">
      <x:c r="A96" s="54" t="str">
        <x:v>Probability &amp; Statistics</x:v>
      </x:c>
      <x:c r="B96" s="54" t="str">
        <x:v>Hypothesis Testing</x:v>
      </x:c>
      <x:c r="C96" s="55" t="str">
        <x:v>Tests for population proportion using binomial/normal models</x:v>
      </x:c>
      <x:c r="D96" s="40"/>
      <x:c r="E96" s="56" t="str">
        <x:v>Not assessed</x:v>
      </x:c>
      <x:c r="F96" s="57"/>
      <x:c r="G96" s="40" t="str">
        <x:f>IF(D96="","Not rated",IF(D96&lt;=2,"High",IF(D96=3,"Medium","Low")))</x:f>
        <x:v>Not rated</x:v>
      </x:c>
      <x:c r="H96" s="55" t="str"/>
      <x:c r="I96" s="55" t="str"/>
    </x:row>
    <x:row r="97" ht="32" customHeight="1">
      <x:c r="A97" s="50" t="str">
        <x:v>Probability &amp; Statistics</x:v>
      </x:c>
      <x:c r="B97" s="50" t="str">
        <x:v>Hypothesis Testing</x:v>
      </x:c>
      <x:c r="C97" s="51" t="str">
        <x:v>Contextual conclusions and Type I/II errors</x:v>
      </x:c>
      <x:c r="D97" s="40"/>
      <x:c r="E97" s="52" t="str">
        <x:v>Not assessed</x:v>
      </x:c>
      <x:c r="F97" s="53"/>
      <x:c r="G97" s="40" t="str">
        <x:f>IF(D97="","Not rated",IF(D97&lt;=2,"High",IF(D97=3,"Medium","Low")))</x:f>
        <x:v>Not rated</x:v>
      </x:c>
      <x:c r="H97" s="51" t="str"/>
      <x:c r="I97" s="51" t="str"/>
    </x:row>
    <x:row r="98" ht="32" customHeight="1">
      <x:c r="A98" s="54" t="str">
        <x:v>Probability &amp; Statistics</x:v>
      </x:c>
      <x:c r="B98" s="54" t="str">
        <x:v>Correlation &amp; Regression</x:v>
      </x:c>
      <x:c r="C98" s="55" t="str">
        <x:v>Scatter diagrams and product-moment correlation</x:v>
      </x:c>
      <x:c r="D98" s="40"/>
      <x:c r="E98" s="56" t="str">
        <x:v>Not assessed</x:v>
      </x:c>
      <x:c r="F98" s="57"/>
      <x:c r="G98" s="40" t="str">
        <x:f>IF(D98="","Not rated",IF(D98&lt;=2,"High",IF(D98=3,"Medium","Low")))</x:f>
        <x:v>Not rated</x:v>
      </x:c>
      <x:c r="H98" s="55" t="str"/>
      <x:c r="I98" s="55" t="str"/>
    </x:row>
    <x:row r="99" ht="32" customHeight="1">
      <x:c r="A99" s="50" t="str">
        <x:v>Probability &amp; Statistics</x:v>
      </x:c>
      <x:c r="B99" s="50" t="str">
        <x:v>Correlation &amp; Regression</x:v>
      </x:c>
      <x:c r="C99" s="51" t="str">
        <x:v>Least-squares regression line of y on x</x:v>
      </x:c>
      <x:c r="D99" s="40"/>
      <x:c r="E99" s="52" t="str">
        <x:v>Not assessed</x:v>
      </x:c>
      <x:c r="F99" s="53"/>
      <x:c r="G99" s="40" t="str">
        <x:f>IF(D99="","Not rated",IF(D99&lt;=2,"High",IF(D99=3,"Medium","Low")))</x:f>
        <x:v>Not rated</x:v>
      </x:c>
      <x:c r="H99" s="51" t="str"/>
      <x:c r="I99" s="51" t="str"/>
    </x:row>
    <x:row r="100" ht="32" customHeight="1">
      <x:c r="A100" s="54" t="str">
        <x:v>Probability &amp; Statistics</x:v>
      </x:c>
      <x:c r="B100" s="54" t="str">
        <x:v>Correlation &amp; Regression</x:v>
      </x:c>
      <x:c r="C100" s="55" t="str">
        <x:v>Prediction, interpolation and extrapolation</x:v>
      </x:c>
      <x:c r="D100" s="40"/>
      <x:c r="E100" s="56" t="str">
        <x:v>Not assessed</x:v>
      </x:c>
      <x:c r="F100" s="57"/>
      <x:c r="G100" s="40" t="str">
        <x:f>IF(D100="","Not rated",IF(D100&lt;=2,"High",IF(D100=3,"Medium","Low")))</x:f>
        <x:v>Not rated</x:v>
      </x:c>
      <x:c r="H100" s="55" t="str"/>
      <x:c r="I100" s="55" t="str"/>
    </x:row>
    <x:row r="101" ht="32" customHeight="1">
      <x:c r="A101" s="58" t="str">
        <x:v>Probability &amp; Statistics</x:v>
      </x:c>
      <x:c r="B101" s="58" t="str">
        <x:v>Correlation &amp; Regression</x:v>
      </x:c>
      <x:c r="C101" s="59" t="str">
        <x:v>Interpreting limitations: correlation vs causation</x:v>
      </x:c>
      <x:c r="D101" s="44"/>
      <x:c r="E101" s="60" t="str">
        <x:v>Not assessed</x:v>
      </x:c>
      <x:c r="F101" s="61"/>
      <x:c r="G101" s="44" t="str">
        <x:f>IF(D101="","Not rated",IF(D101&lt;=2,"High",IF(D101=3,"Medium","Low")))</x:f>
        <x:v>Not rated</x:v>
      </x:c>
      <x:c r="H101" s="59" t="str"/>
      <x:c r="I101" s="59" t="str"/>
    </x:row>
  </x:sheetData>
  <x:mergeCells>
    <x:mergeCell ref="A2:I2"/>
    <x:mergeCell ref="A3:I3"/>
  </x:mergeCells>
  <x:conditionalFormatting sqref="D12:D101">
    <x:cfRule type="cellIs" dxfId="0" priority="1" operator="lessThanOrEqual">
      <x:formula>2</x:formula>
    </x:cfRule>
    <x:cfRule type="cellIs" dxfId="1" priority="2" operator="equal">
      <x:formula>3</x:formula>
    </x:cfRule>
    <x:cfRule type="cellIs" dxfId="2" priority="3" operator="greaterThanOrEqual">
      <x:formula>4</x:formula>
    </x:cfRule>
  </x:conditionalFormatting>
  <x:conditionalFormatting sqref="G12:G101">
    <x:cfRule type="containsText" dxfId="3" priority="4" operator="containsText" text="High"/>
    <x:cfRule type="containsText" dxfId="4" priority="5" operator="containsText" text="Medium"/>
    <x:cfRule type="containsText" dxfId="5" priority="6" operator="containsText" text="Low"/>
  </x:conditionalFormatting>
  <x:dataValidations count="2">
    <x:dataValidation type="list" sqref="D12:D101">
      <x:formula1>"1,2,3,4,5"</x:formula1>
    </x:dataValidation>
    <x:dataValidation type="list" sqref="E12:E101">
      <x:formula1>"Not assessed,No,With hints,Yes"</x:formula1>
    </x:dataValidation>
  </x:dataValidations>
  <x:pageMargins left="0.7" right="0.7" top="0.75" bottom="0.75" header="0.3" footer="0.3"/>
</x:worksheet>
</file>